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ock_mgmt\"/>
    </mc:Choice>
  </mc:AlternateContent>
  <xr:revisionPtr revIDLastSave="0" documentId="13_ncr:1_{85C8369E-4B13-47BE-AB5A-E1013D6D7E13}" xr6:coauthVersionLast="47" xr6:coauthVersionMax="47" xr10:uidLastSave="{00000000-0000-0000-0000-000000000000}"/>
  <bookViews>
    <workbookView xWindow="0" yWindow="12" windowWidth="23256" windowHeight="14616" xr2:uid="{3D656413-42AF-4A82-845E-B1F04302D92D}"/>
  </bookViews>
  <sheets>
    <sheet name="Stock_statement" sheetId="4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4" l="1"/>
  <c r="H26" i="4"/>
  <c r="I26" i="4" s="1"/>
  <c r="G26" i="4"/>
  <c r="K26" i="4" s="1"/>
  <c r="E26" i="4"/>
  <c r="F26" i="4" s="1"/>
  <c r="C26" i="4"/>
  <c r="A26" i="4"/>
  <c r="B26" i="4" s="1"/>
  <c r="J25" i="4"/>
  <c r="I25" i="4"/>
  <c r="H25" i="4"/>
  <c r="G25" i="4"/>
  <c r="K25" i="4" s="1"/>
  <c r="E25" i="4"/>
  <c r="F25" i="4" s="1"/>
  <c r="C25" i="4"/>
  <c r="A25" i="4"/>
  <c r="B25" i="4" s="1"/>
  <c r="J24" i="4"/>
  <c r="H24" i="4"/>
  <c r="I24" i="4" s="1"/>
  <c r="G24" i="4"/>
  <c r="K24" i="4" s="1"/>
  <c r="E24" i="4"/>
  <c r="F24" i="4" s="1"/>
  <c r="C24" i="4"/>
  <c r="B24" i="4"/>
  <c r="A24" i="4"/>
  <c r="M23" i="4"/>
  <c r="J23" i="4"/>
  <c r="H23" i="4"/>
  <c r="I23" i="4" s="1"/>
  <c r="G23" i="4"/>
  <c r="K23" i="4" s="1"/>
  <c r="F23" i="4"/>
  <c r="E23" i="4"/>
  <c r="C23" i="4"/>
  <c r="A23" i="4"/>
  <c r="B23" i="4" s="1"/>
  <c r="J22" i="4"/>
  <c r="I22" i="4"/>
  <c r="H22" i="4"/>
  <c r="G22" i="4"/>
  <c r="K22" i="4" s="1"/>
  <c r="F22" i="4"/>
  <c r="B22" i="4"/>
  <c r="A22" i="4"/>
  <c r="C22" i="4" s="1"/>
  <c r="J21" i="4"/>
  <c r="M21" i="4" s="1"/>
  <c r="L21" i="4" s="1"/>
  <c r="I21" i="4"/>
  <c r="H21" i="4"/>
  <c r="G21" i="4"/>
  <c r="K21" i="4" s="1"/>
  <c r="F21" i="4"/>
  <c r="E21" i="4"/>
  <c r="A21" i="4"/>
  <c r="B21" i="4" s="1"/>
  <c r="J20" i="4"/>
  <c r="H20" i="4"/>
  <c r="M20" i="4" s="1"/>
  <c r="G20" i="4"/>
  <c r="K20" i="4" s="1"/>
  <c r="F20" i="4"/>
  <c r="E20" i="4"/>
  <c r="B20" i="4"/>
  <c r="A20" i="4"/>
  <c r="C20" i="4" s="1"/>
  <c r="J19" i="4"/>
  <c r="M19" i="4" s="1"/>
  <c r="H19" i="4"/>
  <c r="I19" i="4" s="1"/>
  <c r="G19" i="4"/>
  <c r="K19" i="4" s="1"/>
  <c r="F19" i="4"/>
  <c r="E19" i="4"/>
  <c r="A19" i="4"/>
  <c r="B19" i="4" s="1"/>
  <c r="J18" i="4"/>
  <c r="M18" i="4" s="1"/>
  <c r="I18" i="4"/>
  <c r="H18" i="4"/>
  <c r="G18" i="4"/>
  <c r="K18" i="4" s="1"/>
  <c r="F18" i="4"/>
  <c r="E18" i="4"/>
  <c r="A18" i="4"/>
  <c r="C18" i="4" s="1"/>
  <c r="J17" i="4"/>
  <c r="H17" i="4"/>
  <c r="M17" i="4" s="1"/>
  <c r="G17" i="4"/>
  <c r="K17" i="4" s="1"/>
  <c r="F17" i="4"/>
  <c r="E17" i="4"/>
  <c r="C17" i="4"/>
  <c r="B17" i="4"/>
  <c r="A17" i="4"/>
  <c r="J16" i="4"/>
  <c r="M16" i="4" s="1"/>
  <c r="L16" i="4" s="1"/>
  <c r="H16" i="4"/>
  <c r="I16" i="4" s="1"/>
  <c r="G16" i="4"/>
  <c r="K16" i="4" s="1"/>
  <c r="F16" i="4"/>
  <c r="E16" i="4"/>
  <c r="A16" i="4"/>
  <c r="B16" i="4" s="1"/>
  <c r="J15" i="4"/>
  <c r="M15" i="4" s="1"/>
  <c r="I15" i="4"/>
  <c r="H15" i="4"/>
  <c r="G15" i="4"/>
  <c r="K15" i="4" s="1"/>
  <c r="F15" i="4"/>
  <c r="E15" i="4"/>
  <c r="A15" i="4"/>
  <c r="C15" i="4" s="1"/>
  <c r="J14" i="4"/>
  <c r="H14" i="4"/>
  <c r="M14" i="4" s="1"/>
  <c r="G14" i="4"/>
  <c r="K14" i="4" s="1"/>
  <c r="F14" i="4"/>
  <c r="E14" i="4"/>
  <c r="C14" i="4"/>
  <c r="B14" i="4"/>
  <c r="A14" i="4"/>
  <c r="J13" i="4"/>
  <c r="M13" i="4" s="1"/>
  <c r="H13" i="4"/>
  <c r="I13" i="4" s="1"/>
  <c r="G13" i="4"/>
  <c r="K13" i="4" s="1"/>
  <c r="F13" i="4"/>
  <c r="E13" i="4"/>
  <c r="A13" i="4"/>
  <c r="B13" i="4" s="1"/>
  <c r="J12" i="4"/>
  <c r="M12" i="4" s="1"/>
  <c r="I12" i="4"/>
  <c r="H12" i="4"/>
  <c r="G12" i="4"/>
  <c r="K12" i="4" s="1"/>
  <c r="F12" i="4"/>
  <c r="E12" i="4"/>
  <c r="A12" i="4"/>
  <c r="C12" i="4" s="1"/>
  <c r="J11" i="4"/>
  <c r="H11" i="4"/>
  <c r="M11" i="4" s="1"/>
  <c r="G11" i="4"/>
  <c r="K11" i="4" s="1"/>
  <c r="F11" i="4"/>
  <c r="E11" i="4"/>
  <c r="C11" i="4"/>
  <c r="B11" i="4"/>
  <c r="A11" i="4"/>
  <c r="J10" i="4"/>
  <c r="M10" i="4" s="1"/>
  <c r="H10" i="4"/>
  <c r="I10" i="4" s="1"/>
  <c r="G10" i="4"/>
  <c r="K10" i="4" s="1"/>
  <c r="F10" i="4"/>
  <c r="E10" i="4"/>
  <c r="A10" i="4"/>
  <c r="B10" i="4" s="1"/>
  <c r="J9" i="4"/>
  <c r="M9" i="4" s="1"/>
  <c r="I9" i="4"/>
  <c r="H9" i="4"/>
  <c r="G9" i="4"/>
  <c r="K9" i="4" s="1"/>
  <c r="F9" i="4"/>
  <c r="E9" i="4"/>
  <c r="A9" i="4"/>
  <c r="B9" i="4" s="1"/>
  <c r="J8" i="4"/>
  <c r="H8" i="4"/>
  <c r="M8" i="4" s="1"/>
  <c r="L8" i="4" s="1"/>
  <c r="G8" i="4"/>
  <c r="K8" i="4" s="1"/>
  <c r="F8" i="4"/>
  <c r="E8" i="4"/>
  <c r="C8" i="4"/>
  <c r="B8" i="4"/>
  <c r="A8" i="4"/>
  <c r="J7" i="4"/>
  <c r="M7" i="4" s="1"/>
  <c r="H7" i="4"/>
  <c r="I7" i="4" s="1"/>
  <c r="G7" i="4"/>
  <c r="K7" i="4" s="1"/>
  <c r="F7" i="4"/>
  <c r="E7" i="4"/>
  <c r="A7" i="4"/>
  <c r="B7" i="4" s="1"/>
  <c r="J6" i="4"/>
  <c r="M6" i="4" s="1"/>
  <c r="I6" i="4"/>
  <c r="H6" i="4"/>
  <c r="G6" i="4"/>
  <c r="K6" i="4" s="1"/>
  <c r="F6" i="4"/>
  <c r="E6" i="4"/>
  <c r="A6" i="4"/>
  <c r="C6" i="4" s="1"/>
  <c r="J5" i="4"/>
  <c r="H5" i="4"/>
  <c r="M5" i="4" s="1"/>
  <c r="G5" i="4"/>
  <c r="K5" i="4" s="1"/>
  <c r="F5" i="4"/>
  <c r="E5" i="4"/>
  <c r="C5" i="4"/>
  <c r="B5" i="4"/>
  <c r="A5" i="4"/>
  <c r="J4" i="4"/>
  <c r="M4" i="4" s="1"/>
  <c r="H4" i="4"/>
  <c r="I4" i="4" s="1"/>
  <c r="G4" i="4"/>
  <c r="K4" i="4" s="1"/>
  <c r="F4" i="4"/>
  <c r="E4" i="4"/>
  <c r="A4" i="4"/>
  <c r="B4" i="4" s="1"/>
  <c r="J3" i="4"/>
  <c r="M3" i="4" s="1"/>
  <c r="L3" i="4" s="1"/>
  <c r="I3" i="4"/>
  <c r="H3" i="4"/>
  <c r="G3" i="4"/>
  <c r="K3" i="4" s="1"/>
  <c r="F3" i="4"/>
  <c r="E3" i="4"/>
  <c r="A3" i="4"/>
  <c r="B3" i="4" s="1"/>
  <c r="J2" i="4"/>
  <c r="H2" i="4"/>
  <c r="M2" i="4" s="1"/>
  <c r="G2" i="4"/>
  <c r="K2" i="4" s="1"/>
  <c r="F2" i="4"/>
  <c r="A2" i="4"/>
  <c r="B2" i="4" s="1"/>
  <c r="L4" i="4" l="1"/>
  <c r="L12" i="4"/>
  <c r="L19" i="4"/>
  <c r="M24" i="4"/>
  <c r="L24" i="4" s="1"/>
  <c r="L14" i="4"/>
  <c r="L17" i="4"/>
  <c r="L20" i="4"/>
  <c r="L2" i="4"/>
  <c r="L23" i="4"/>
  <c r="M22" i="4"/>
  <c r="L22" i="4" s="1"/>
  <c r="L7" i="4"/>
  <c r="L13" i="4"/>
  <c r="L18" i="4"/>
  <c r="L11" i="4"/>
  <c r="L6" i="4"/>
  <c r="L9" i="4"/>
  <c r="M25" i="4"/>
  <c r="L25" i="4" s="1"/>
  <c r="L10" i="4"/>
  <c r="L15" i="4"/>
  <c r="L5" i="4"/>
  <c r="M26" i="4"/>
  <c r="L26" i="4" s="1"/>
  <c r="C21" i="4"/>
  <c r="C3" i="4"/>
  <c r="C9" i="4"/>
  <c r="B6" i="4"/>
  <c r="B12" i="4"/>
  <c r="B15" i="4"/>
  <c r="B18" i="4"/>
  <c r="C2" i="4"/>
  <c r="C7" i="4"/>
  <c r="C10" i="4"/>
  <c r="C19" i="4"/>
  <c r="C4" i="4"/>
  <c r="C13" i="4"/>
  <c r="C16" i="4"/>
  <c r="I2" i="4"/>
  <c r="I5" i="4"/>
  <c r="I8" i="4"/>
  <c r="I11" i="4"/>
  <c r="I14" i="4"/>
  <c r="I17" i="4"/>
  <c r="I20" i="4"/>
  <c r="M27" i="4" l="1"/>
</calcChain>
</file>

<file path=xl/sharedStrings.xml><?xml version="1.0" encoding="utf-8"?>
<sst xmlns="http://schemas.openxmlformats.org/spreadsheetml/2006/main" count="13" uniqueCount="13">
  <si>
    <t>Item_Code</t>
  </si>
  <si>
    <t>Inward_rate</t>
  </si>
  <si>
    <t>Inward_Qty</t>
  </si>
  <si>
    <t>Issue_Qty</t>
  </si>
  <si>
    <t>Closing_stk</t>
  </si>
  <si>
    <t>Opening_Stk</t>
  </si>
  <si>
    <t>Category</t>
  </si>
  <si>
    <t>Item_Description</t>
  </si>
  <si>
    <t>Opening_Value</t>
  </si>
  <si>
    <t>Opening_rate</t>
  </si>
  <si>
    <t>Inward_value</t>
  </si>
  <si>
    <t>Avg_Rate</t>
  </si>
  <si>
    <t>Stock_Value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</si>
</sst>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65" fontId="0" fillId="0" borderId="1" xfId="1" applyNumberFormat="1" applyFont="1" applyFill="1" applyBorder="1"/>
    <xf numFmtId="43" fontId="0" fillId="0" borderId="1" xfId="1" applyFont="1" applyFill="1" applyBorder="1"/>
    <xf numFmtId="43" fontId="0" fillId="0" borderId="1" xfId="1" applyFont="1" applyBorder="1"/>
    <xf numFmtId="165" fontId="0" fillId="0" borderId="1" xfId="1" applyNumberFormat="1" applyFont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tya%20Lawate\Downloads\STOCK%20STATEMENT%20-%20RONCH%20copy%20(2).xlsx" TargetMode="External"/><Relationship Id="rId1" Type="http://schemas.openxmlformats.org/officeDocument/2006/relationships/externalLinkPath" Target="/Users/Aditya%20Lawate/Downloads/STOCK%20STATEMENT%20-%20RONCH%20copy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_Master"/>
      <sheetName val="tblInward"/>
      <sheetName val="tblIssue"/>
      <sheetName val="Closing_stock"/>
      <sheetName val="required Category"/>
    </sheetNames>
    <sheetDataSet>
      <sheetData sheetId="0">
        <row r="1">
          <cell r="A1" t="str">
            <v>item_code</v>
          </cell>
          <cell r="B1" t="str">
            <v>item_name</v>
          </cell>
          <cell r="C1" t="str">
            <v>CATEGORY</v>
          </cell>
        </row>
        <row r="2">
          <cell r="A2" t="str">
            <v>RMP0001</v>
          </cell>
          <cell r="B2" t="str">
            <v>ABS IM 14G</v>
          </cell>
          <cell r="C2" t="str">
            <v>PLASTIC</v>
          </cell>
        </row>
        <row r="3">
          <cell r="A3" t="str">
            <v>RMP0002</v>
          </cell>
          <cell r="B3" t="str">
            <v>PPB120</v>
          </cell>
          <cell r="C3" t="str">
            <v>PLASTIC</v>
          </cell>
        </row>
        <row r="4">
          <cell r="A4" t="str">
            <v>RMP0003</v>
          </cell>
          <cell r="B4" t="str">
            <v>NYLON</v>
          </cell>
          <cell r="C4" t="str">
            <v>PLASTIC</v>
          </cell>
        </row>
        <row r="5">
          <cell r="A5" t="str">
            <v>RMP0004</v>
          </cell>
          <cell r="B5" t="str">
            <v>PC</v>
          </cell>
          <cell r="C5" t="str">
            <v>PLASTIC</v>
          </cell>
        </row>
        <row r="6">
          <cell r="A6" t="str">
            <v>RMP0005</v>
          </cell>
          <cell r="B6" t="str">
            <v>LDPE</v>
          </cell>
          <cell r="C6" t="str">
            <v>PLASTIC</v>
          </cell>
        </row>
        <row r="7">
          <cell r="A7" t="str">
            <v>RMP0006</v>
          </cell>
          <cell r="B7" t="str">
            <v>LLDPE</v>
          </cell>
          <cell r="C7" t="str">
            <v>PLASTIC</v>
          </cell>
        </row>
        <row r="8">
          <cell r="A8" t="str">
            <v>RMP0007</v>
          </cell>
          <cell r="B8" t="str">
            <v>PP1350YG</v>
          </cell>
          <cell r="C8" t="str">
            <v>PLASTIC</v>
          </cell>
        </row>
        <row r="9">
          <cell r="A9" t="str">
            <v>RMC0001</v>
          </cell>
          <cell r="B9" t="str">
            <v>IAC</v>
          </cell>
          <cell r="C9" t="str">
            <v>CARBON</v>
          </cell>
        </row>
        <row r="10">
          <cell r="A10" t="str">
            <v>RMC0002</v>
          </cell>
          <cell r="B10" t="str">
            <v>PAC</v>
          </cell>
          <cell r="C10" t="str">
            <v>CARBON</v>
          </cell>
        </row>
        <row r="11">
          <cell r="A11" t="str">
            <v>RMC0003</v>
          </cell>
          <cell r="B11" t="str">
            <v>GAC</v>
          </cell>
          <cell r="C11" t="str">
            <v>CARBON</v>
          </cell>
        </row>
        <row r="12">
          <cell r="A12" t="str">
            <v>BOP0001</v>
          </cell>
          <cell r="B12" t="str">
            <v>TAP GASKET</v>
          </cell>
          <cell r="C12" t="str">
            <v>BOP</v>
          </cell>
        </row>
        <row r="13">
          <cell r="A13" t="str">
            <v>BOP0002</v>
          </cell>
          <cell r="B13" t="str">
            <v>TAP SPRING</v>
          </cell>
          <cell r="C13" t="str">
            <v>BOP</v>
          </cell>
        </row>
        <row r="14">
          <cell r="A14" t="str">
            <v>BOP0003</v>
          </cell>
          <cell r="B14" t="str">
            <v>11.5 DIA O RING</v>
          </cell>
          <cell r="C14" t="str">
            <v>BOP</v>
          </cell>
        </row>
        <row r="15">
          <cell r="A15" t="str">
            <v>BOP0004</v>
          </cell>
          <cell r="B15" t="str">
            <v>28 DIA O RING</v>
          </cell>
          <cell r="C15" t="str">
            <v>BOP</v>
          </cell>
        </row>
        <row r="16">
          <cell r="A16" t="str">
            <v>BOP0005</v>
          </cell>
          <cell r="B16" t="str">
            <v>42 DIA O RING</v>
          </cell>
          <cell r="C16" t="str">
            <v>BOP</v>
          </cell>
        </row>
        <row r="17">
          <cell r="A17" t="str">
            <v>BOP0006</v>
          </cell>
          <cell r="B17" t="str">
            <v>98 DIA ORING</v>
          </cell>
          <cell r="C17" t="str">
            <v>BOP</v>
          </cell>
        </row>
        <row r="18">
          <cell r="A18" t="str">
            <v>BOP0007</v>
          </cell>
          <cell r="B18" t="str">
            <v>PUMP</v>
          </cell>
          <cell r="C18" t="str">
            <v>BOP</v>
          </cell>
        </row>
        <row r="19">
          <cell r="A19" t="str">
            <v>BOP0008</v>
          </cell>
          <cell r="B19" t="str">
            <v>MEMBRANE</v>
          </cell>
          <cell r="C19" t="str">
            <v>BOP</v>
          </cell>
        </row>
        <row r="20">
          <cell r="A20" t="str">
            <v>BOP0009</v>
          </cell>
          <cell r="B20" t="str">
            <v>1/4" ELBLOW QCC</v>
          </cell>
          <cell r="C20" t="str">
            <v>BOP</v>
          </cell>
        </row>
        <row r="21">
          <cell r="A21" t="str">
            <v>BOP0010</v>
          </cell>
          <cell r="B21" t="str">
            <v>FLOW RESTRICTOR 450 ML</v>
          </cell>
          <cell r="C21" t="str">
            <v>BOP</v>
          </cell>
        </row>
        <row r="22">
          <cell r="A22" t="str">
            <v>PKJ0001</v>
          </cell>
          <cell r="B22" t="str">
            <v>POLYBAG 28 X 36</v>
          </cell>
          <cell r="C22" t="str">
            <v>PACKING MATERIAL</v>
          </cell>
        </row>
        <row r="23">
          <cell r="A23" t="str">
            <v>PKJ0002</v>
          </cell>
          <cell r="B23" t="str">
            <v>POLYBAG 10 X 10</v>
          </cell>
          <cell r="C23" t="str">
            <v>PACKING MATERIAL</v>
          </cell>
        </row>
        <row r="24">
          <cell r="A24" t="str">
            <v>PKJ0003</v>
          </cell>
          <cell r="B24" t="str">
            <v>CLING FILM</v>
          </cell>
          <cell r="C24" t="str">
            <v>PACKING MATERIAL</v>
          </cell>
        </row>
        <row r="25">
          <cell r="A25" t="str">
            <v>PKJ0004</v>
          </cell>
          <cell r="B25" t="str">
            <v>CORRUGATED BOX BANGLADESH CLASSIC 23 LTRS</v>
          </cell>
          <cell r="C25" t="str">
            <v>PACKING MATERIAL</v>
          </cell>
        </row>
        <row r="26">
          <cell r="A26" t="str">
            <v>PKJ0005</v>
          </cell>
          <cell r="B26" t="str">
            <v>CORRUGATED BOX MEXICO CLASSIC 23 LTRS</v>
          </cell>
          <cell r="C26" t="str">
            <v>PACKING MATERIAL</v>
          </cell>
        </row>
      </sheetData>
      <sheetData sheetId="1">
        <row r="1">
          <cell r="B1" t="str">
            <v>Item_Code</v>
          </cell>
          <cell r="D1" t="str">
            <v>Inward_qty</v>
          </cell>
          <cell r="F1" t="str">
            <v>inward_value</v>
          </cell>
        </row>
        <row r="2">
          <cell r="B2" t="str">
            <v>RMC0002</v>
          </cell>
          <cell r="D2">
            <v>500</v>
          </cell>
          <cell r="F2">
            <v>75000</v>
          </cell>
        </row>
        <row r="3">
          <cell r="B3" t="str">
            <v>RMP0001</v>
          </cell>
          <cell r="D3">
            <v>10000</v>
          </cell>
          <cell r="F3">
            <v>1650000</v>
          </cell>
        </row>
        <row r="4">
          <cell r="B4" t="str">
            <v>BOP0001</v>
          </cell>
          <cell r="D4">
            <v>10000</v>
          </cell>
          <cell r="F4">
            <v>35000</v>
          </cell>
        </row>
        <row r="5">
          <cell r="B5" t="str">
            <v>PKJ0003</v>
          </cell>
          <cell r="D5">
            <v>500</v>
          </cell>
          <cell r="F5">
            <v>387500</v>
          </cell>
        </row>
        <row r="6">
          <cell r="B6" t="str">
            <v>BOP0002</v>
          </cell>
          <cell r="D6">
            <v>25000</v>
          </cell>
          <cell r="F6">
            <v>18750</v>
          </cell>
        </row>
        <row r="7">
          <cell r="B7" t="str">
            <v>PKJ0001</v>
          </cell>
          <cell r="D7">
            <v>500</v>
          </cell>
          <cell r="F7">
            <v>62500</v>
          </cell>
        </row>
        <row r="8">
          <cell r="B8" t="str">
            <v>RMP0002</v>
          </cell>
          <cell r="D8">
            <v>10000</v>
          </cell>
          <cell r="F8">
            <v>1110000</v>
          </cell>
        </row>
        <row r="9">
          <cell r="B9" t="str">
            <v>RMC0002</v>
          </cell>
          <cell r="D9">
            <v>1500</v>
          </cell>
          <cell r="F9">
            <v>225000</v>
          </cell>
        </row>
        <row r="10">
          <cell r="B10" t="str">
            <v>RMP0001</v>
          </cell>
          <cell r="D10">
            <v>5000</v>
          </cell>
          <cell r="F10">
            <v>825000</v>
          </cell>
        </row>
        <row r="11">
          <cell r="B11" t="str">
            <v>BOP0001</v>
          </cell>
          <cell r="D11">
            <v>1000</v>
          </cell>
          <cell r="F11">
            <v>3500</v>
          </cell>
        </row>
        <row r="12">
          <cell r="B12" t="str">
            <v>PKJ0003</v>
          </cell>
          <cell r="D12">
            <v>100</v>
          </cell>
          <cell r="F12">
            <v>77500</v>
          </cell>
        </row>
        <row r="13">
          <cell r="B13" t="str">
            <v>BOP0002</v>
          </cell>
          <cell r="D13">
            <v>1000</v>
          </cell>
          <cell r="F13">
            <v>750</v>
          </cell>
        </row>
        <row r="14">
          <cell r="B14" t="str">
            <v>PKJ0001</v>
          </cell>
          <cell r="D14">
            <v>50</v>
          </cell>
          <cell r="F14">
            <v>6250</v>
          </cell>
        </row>
        <row r="15">
          <cell r="B15" t="str">
            <v>RMP0002</v>
          </cell>
          <cell r="D15">
            <v>5000</v>
          </cell>
          <cell r="F15">
            <v>555000</v>
          </cell>
        </row>
        <row r="16">
          <cell r="B16" t="str">
            <v>RMC0002</v>
          </cell>
          <cell r="D16">
            <v>2500</v>
          </cell>
          <cell r="F16">
            <v>375000</v>
          </cell>
        </row>
        <row r="17">
          <cell r="B17" t="str">
            <v>RMP0001</v>
          </cell>
          <cell r="D17">
            <v>4500</v>
          </cell>
          <cell r="F17">
            <v>742500</v>
          </cell>
        </row>
        <row r="18">
          <cell r="B18" t="str">
            <v>BOP0001</v>
          </cell>
          <cell r="D18">
            <v>2500</v>
          </cell>
          <cell r="F18">
            <v>8750</v>
          </cell>
        </row>
        <row r="19">
          <cell r="B19" t="str">
            <v>PKJ0003</v>
          </cell>
          <cell r="D19">
            <v>50</v>
          </cell>
          <cell r="F19">
            <v>38750</v>
          </cell>
        </row>
        <row r="20">
          <cell r="B20" t="str">
            <v>BOP0002</v>
          </cell>
          <cell r="D20">
            <v>2000</v>
          </cell>
          <cell r="F20">
            <v>1500</v>
          </cell>
        </row>
        <row r="21">
          <cell r="B21" t="str">
            <v>PKJ0001</v>
          </cell>
          <cell r="D21">
            <v>150</v>
          </cell>
          <cell r="F21">
            <v>18750</v>
          </cell>
        </row>
        <row r="22">
          <cell r="B22" t="str">
            <v>RMP0002</v>
          </cell>
          <cell r="D22">
            <v>5000</v>
          </cell>
          <cell r="F22">
            <v>555000</v>
          </cell>
        </row>
      </sheetData>
      <sheetData sheetId="2">
        <row r="1">
          <cell r="B1" t="str">
            <v>Item_code</v>
          </cell>
          <cell r="D1" t="str">
            <v>Issued_qty</v>
          </cell>
        </row>
        <row r="2">
          <cell r="B2" t="str">
            <v>RMC0002</v>
          </cell>
          <cell r="D2">
            <v>1000</v>
          </cell>
        </row>
        <row r="3">
          <cell r="B3" t="str">
            <v>RMP0001</v>
          </cell>
          <cell r="D3">
            <v>5000</v>
          </cell>
        </row>
        <row r="4">
          <cell r="B4" t="str">
            <v>BOP0001</v>
          </cell>
          <cell r="D4">
            <v>5000</v>
          </cell>
        </row>
        <row r="5">
          <cell r="B5" t="str">
            <v>PKJ0001</v>
          </cell>
          <cell r="D5">
            <v>50</v>
          </cell>
        </row>
        <row r="6">
          <cell r="B6" t="str">
            <v>RMP0002</v>
          </cell>
          <cell r="D6">
            <v>150</v>
          </cell>
        </row>
        <row r="7">
          <cell r="B7" t="str">
            <v>BOP0002</v>
          </cell>
          <cell r="D7">
            <v>5000</v>
          </cell>
        </row>
        <row r="8">
          <cell r="B8" t="str">
            <v>RMC0002</v>
          </cell>
          <cell r="D8">
            <v>500</v>
          </cell>
        </row>
        <row r="9">
          <cell r="B9" t="str">
            <v>RMP0001</v>
          </cell>
          <cell r="D9">
            <v>1500</v>
          </cell>
        </row>
        <row r="10">
          <cell r="B10" t="str">
            <v>BOP0001</v>
          </cell>
          <cell r="D10">
            <v>1000</v>
          </cell>
        </row>
        <row r="11">
          <cell r="B11" t="str">
            <v>PKJ0001</v>
          </cell>
          <cell r="D11">
            <v>50</v>
          </cell>
        </row>
        <row r="12">
          <cell r="B12" t="str">
            <v>RMP0002</v>
          </cell>
          <cell r="D12">
            <v>500</v>
          </cell>
        </row>
        <row r="13">
          <cell r="B13" t="str">
            <v>BOP0002</v>
          </cell>
          <cell r="D13">
            <v>1000</v>
          </cell>
        </row>
        <row r="14">
          <cell r="B14" t="str">
            <v>RMC0002</v>
          </cell>
          <cell r="D14">
            <v>500</v>
          </cell>
        </row>
        <row r="15">
          <cell r="B15" t="str">
            <v>RMP0001</v>
          </cell>
          <cell r="D15">
            <v>2500</v>
          </cell>
        </row>
        <row r="16">
          <cell r="B16" t="str">
            <v>BOP0001</v>
          </cell>
          <cell r="D16">
            <v>4500</v>
          </cell>
        </row>
        <row r="17">
          <cell r="B17" t="str">
            <v>PKJ0001</v>
          </cell>
          <cell r="D17">
            <v>75</v>
          </cell>
        </row>
        <row r="18">
          <cell r="B18" t="str">
            <v>RMP0002</v>
          </cell>
          <cell r="D18">
            <v>250</v>
          </cell>
        </row>
        <row r="19">
          <cell r="B19" t="str">
            <v>BOP0002</v>
          </cell>
          <cell r="D19">
            <v>500</v>
          </cell>
        </row>
      </sheetData>
      <sheetData sheetId="3">
        <row r="2">
          <cell r="A2" t="str">
            <v>RMP0001</v>
          </cell>
        </row>
        <row r="3">
          <cell r="A3" t="str">
            <v>RMP0002</v>
          </cell>
        </row>
        <row r="4">
          <cell r="A4" t="str">
            <v>RMP0003</v>
          </cell>
        </row>
        <row r="5">
          <cell r="A5" t="str">
            <v>RMP0004</v>
          </cell>
        </row>
        <row r="6">
          <cell r="A6" t="str">
            <v>RMP0005</v>
          </cell>
        </row>
        <row r="7">
          <cell r="A7" t="str">
            <v>RMP0006</v>
          </cell>
        </row>
        <row r="8">
          <cell r="A8" t="str">
            <v>RMP0007</v>
          </cell>
        </row>
        <row r="9">
          <cell r="A9" t="str">
            <v>RMC0001</v>
          </cell>
        </row>
        <row r="10">
          <cell r="A10" t="str">
            <v>RMC0002</v>
          </cell>
        </row>
        <row r="11">
          <cell r="A11" t="str">
            <v>RMC0003</v>
          </cell>
        </row>
        <row r="12">
          <cell r="A12" t="str">
            <v>BOP0001</v>
          </cell>
        </row>
        <row r="13">
          <cell r="A13" t="str">
            <v>BOP0002</v>
          </cell>
        </row>
        <row r="14">
          <cell r="A14" t="str">
            <v>BOP0003</v>
          </cell>
        </row>
        <row r="15">
          <cell r="A15" t="str">
            <v>BOP0004</v>
          </cell>
        </row>
        <row r="16">
          <cell r="A16" t="str">
            <v>BOP0005</v>
          </cell>
        </row>
        <row r="17">
          <cell r="A17" t="str">
            <v>BOP0006</v>
          </cell>
        </row>
        <row r="18">
          <cell r="A18" t="str">
            <v>BOP0007</v>
          </cell>
        </row>
        <row r="19">
          <cell r="A19" t="str">
            <v>BOP0008</v>
          </cell>
        </row>
        <row r="20">
          <cell r="A20" t="str">
            <v>BOP0009</v>
          </cell>
        </row>
        <row r="21">
          <cell r="A21" t="str">
            <v>BOP0010</v>
          </cell>
        </row>
        <row r="22">
          <cell r="A22" t="str">
            <v>PKJ0001</v>
          </cell>
        </row>
        <row r="23">
          <cell r="A23" t="str">
            <v>PKJ0002</v>
          </cell>
        </row>
        <row r="24">
          <cell r="A24" t="str">
            <v>PKJ0003</v>
          </cell>
        </row>
        <row r="25">
          <cell r="A25" t="str">
            <v>PKJ0004</v>
          </cell>
        </row>
        <row r="26">
          <cell r="A26" t="str">
            <v>PKJ0005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D886-B474-4807-92C6-3730313351F5}">
  <dimension ref="A1:M27"/>
  <sheetViews>
    <sheetView tabSelected="1" workbookViewId="0">
      <selection sqref="A1:M9"/>
    </sheetView>
  </sheetViews>
  <sheetFormatPr defaultRowHeight="14.4" x14ac:dyDescent="0.3"/>
  <cols>
    <col min="1" max="1" width="10" bestFit="1" customWidth="1"/>
    <col min="2" max="2" width="42.6640625" bestFit="1" customWidth="1"/>
    <col min="3" max="3" width="17.44140625" bestFit="1" customWidth="1"/>
    <col min="4" max="4" width="11.109375" bestFit="1" customWidth="1"/>
    <col min="5" max="5" width="13.33203125" bestFit="1" customWidth="1"/>
    <col min="6" max="6" width="12" bestFit="1" customWidth="1"/>
    <col min="7" max="7" width="10.5546875" bestFit="1" customWidth="1"/>
    <col min="8" max="8" width="12.5546875" bestFit="1" customWidth="1"/>
    <col min="9" max="9" width="11" bestFit="1" customWidth="1"/>
    <col min="10" max="10" width="9" bestFit="1" customWidth="1"/>
    <col min="11" max="11" width="10.109375" bestFit="1" customWidth="1"/>
    <col min="12" max="12" width="9.109375" bestFit="1" customWidth="1"/>
    <col min="13" max="13" width="13.44140625" bestFit="1" customWidth="1"/>
  </cols>
  <sheetData>
    <row r="1" spans="1:13" x14ac:dyDescent="0.3">
      <c r="A1" s="1" t="s">
        <v>0</v>
      </c>
      <c r="B1" s="1" t="s">
        <v>7</v>
      </c>
      <c r="C1" s="1" t="s">
        <v>6</v>
      </c>
      <c r="D1" s="1" t="s">
        <v>5</v>
      </c>
      <c r="E1" s="1" t="s">
        <v>8</v>
      </c>
      <c r="F1" s="1" t="s">
        <v>9</v>
      </c>
      <c r="G1" s="1" t="s">
        <v>2</v>
      </c>
      <c r="H1" s="1" t="s">
        <v>10</v>
      </c>
      <c r="I1" s="1" t="s">
        <v>1</v>
      </c>
      <c r="J1" s="1" t="s">
        <v>3</v>
      </c>
      <c r="K1" s="1" t="s">
        <v>4</v>
      </c>
      <c r="L1" s="1" t="s">
        <v>11</v>
      </c>
      <c r="M1" s="1" t="s">
        <v>12</v>
      </c>
    </row>
    <row r="2" spans="1:13" x14ac:dyDescent="0.3">
      <c r="A2" s="1" t="str">
        <f>[1]Item_Master!A2</f>
        <v>RMP0001</v>
      </c>
      <c r="B2" s="1" t="str">
        <f>_xlfn.XLOOKUP(A2, [1]Item_Master!A:A, [1]Item_Master!B:B)</f>
        <v>ABS IM 14G</v>
      </c>
      <c r="C2" s="1" t="str">
        <f>_xlfn.XLOOKUP(A2, [1]Item_Master!A:A, [1]Item_Master!C:C)</f>
        <v>PLASTIC</v>
      </c>
      <c r="D2" s="2">
        <v>12000</v>
      </c>
      <c r="E2" s="3">
        <v>2040000</v>
      </c>
      <c r="F2" s="4">
        <f>IFERROR(E2/D2,0)</f>
        <v>170</v>
      </c>
      <c r="G2" s="5">
        <f>SUMIFS([1]tblInward!D:D,[1]tblInward!B:B,[1]Closing_stock!A2)</f>
        <v>19500</v>
      </c>
      <c r="H2" s="4">
        <f>SUMIFS([1]tblInward!F:F,[1]tblInward!B:B,[1]Closing_stock!A2)</f>
        <v>3217500</v>
      </c>
      <c r="I2" s="4">
        <f>IFERROR(H2/G2,0)</f>
        <v>165</v>
      </c>
      <c r="J2" s="5">
        <f>SUMIFS([1]tblIssue!D:D,[1]tblIssue!B:B,[1]Closing_stock!A2)</f>
        <v>9000</v>
      </c>
      <c r="K2" s="5">
        <f>IFERROR(D2+G2-J2,0)</f>
        <v>22500</v>
      </c>
      <c r="L2" s="4">
        <f>IFERROR(M2/K2,0)</f>
        <v>165.66666666666666</v>
      </c>
      <c r="M2" s="3">
        <f>IFERROR(IF(J2&gt;D2,I2*K2,(E2+H2-(J2*F2))),0)</f>
        <v>3727500</v>
      </c>
    </row>
    <row r="3" spans="1:13" x14ac:dyDescent="0.3">
      <c r="A3" s="1" t="str">
        <f>[1]Item_Master!A3</f>
        <v>RMP0002</v>
      </c>
      <c r="B3" s="1" t="str">
        <f>_xlfn.XLOOKUP(A3, [1]Item_Master!A:A, [1]Item_Master!B:B)</f>
        <v>PPB120</v>
      </c>
      <c r="C3" s="1" t="str">
        <f>_xlfn.XLOOKUP(A3, [1]Item_Master!A:A, [1]Item_Master!C:C)</f>
        <v>PLASTIC</v>
      </c>
      <c r="D3" s="2">
        <v>4500</v>
      </c>
      <c r="E3" s="3">
        <f>4500*110.5</f>
        <v>497250</v>
      </c>
      <c r="F3" s="4">
        <f t="shared" ref="F3:F26" si="0">IFERROR(E3/D3,0)</f>
        <v>110.5</v>
      </c>
      <c r="G3" s="5">
        <f>SUMIFS([1]tblInward!D:D,[1]tblInward!B:B,[1]Closing_stock!A3)</f>
        <v>20000</v>
      </c>
      <c r="H3" s="4">
        <f>SUMIFS([1]tblInward!F:F,[1]tblInward!B:B,[1]Closing_stock!A3)</f>
        <v>2220000</v>
      </c>
      <c r="I3" s="4">
        <f t="shared" ref="I3:I26" si="1">IFERROR(H3/G3,0)</f>
        <v>111</v>
      </c>
      <c r="J3" s="5">
        <f>SUMIFS([1]tblIssue!D:D,[1]tblIssue!B:B,[1]Closing_stock!A3)</f>
        <v>900</v>
      </c>
      <c r="K3" s="5">
        <f t="shared" ref="K3:K26" si="2">IFERROR(D3+G3-J3,0)</f>
        <v>23600</v>
      </c>
      <c r="L3" s="4">
        <f t="shared" ref="L3:L26" si="3">IFERROR(M3/K3,0)</f>
        <v>110.92372881355932</v>
      </c>
      <c r="M3" s="3">
        <f t="shared" ref="M3:M26" si="4">IFERROR(IF(J3&gt;D3,I3*K3,(E3+H3-(J3*F3))),0)</f>
        <v>2617800</v>
      </c>
    </row>
    <row r="4" spans="1:13" x14ac:dyDescent="0.3">
      <c r="A4" s="1" t="str">
        <f>[1]Item_Master!A4</f>
        <v>RMP0003</v>
      </c>
      <c r="B4" s="1" t="str">
        <f>_xlfn.XLOOKUP(A4, [1]Item_Master!A:A, [1]Item_Master!B:B)</f>
        <v>NYLON</v>
      </c>
      <c r="C4" s="1" t="str">
        <f>_xlfn.XLOOKUP(A4, [1]Item_Master!A:A, [1]Item_Master!C:C)</f>
        <v>PLASTIC</v>
      </c>
      <c r="D4" s="2">
        <v>425</v>
      </c>
      <c r="E4" s="3">
        <f>425*225</f>
        <v>95625</v>
      </c>
      <c r="F4" s="4">
        <f t="shared" si="0"/>
        <v>225</v>
      </c>
      <c r="G4" s="5">
        <f>SUMIFS([1]tblInward!D:D,[1]tblInward!B:B,[1]Closing_stock!A4)</f>
        <v>0</v>
      </c>
      <c r="H4" s="4">
        <f>SUMIFS([1]tblInward!F:F,[1]tblInward!B:B,[1]Closing_stock!A4)</f>
        <v>0</v>
      </c>
      <c r="I4" s="4">
        <f t="shared" si="1"/>
        <v>0</v>
      </c>
      <c r="J4" s="5">
        <f>SUMIFS([1]tblIssue!D:D,[1]tblIssue!B:B,[1]Closing_stock!A4)</f>
        <v>0</v>
      </c>
      <c r="K4" s="5">
        <f t="shared" si="2"/>
        <v>425</v>
      </c>
      <c r="L4" s="4">
        <f t="shared" si="3"/>
        <v>225</v>
      </c>
      <c r="M4" s="3">
        <f t="shared" si="4"/>
        <v>95625</v>
      </c>
    </row>
    <row r="5" spans="1:13" x14ac:dyDescent="0.3">
      <c r="A5" s="1" t="str">
        <f>[1]Item_Master!A5</f>
        <v>RMP0004</v>
      </c>
      <c r="B5" s="1" t="str">
        <f>_xlfn.XLOOKUP(A5, [1]Item_Master!A:A, [1]Item_Master!B:B)</f>
        <v>PC</v>
      </c>
      <c r="C5" s="1" t="str">
        <f>_xlfn.XLOOKUP(A5, [1]Item_Master!A:A, [1]Item_Master!C:C)</f>
        <v>PLASTIC</v>
      </c>
      <c r="D5" s="2">
        <v>4500</v>
      </c>
      <c r="E5" s="3">
        <f>260*4500</f>
        <v>1170000</v>
      </c>
      <c r="F5" s="4">
        <f t="shared" si="0"/>
        <v>260</v>
      </c>
      <c r="G5" s="5">
        <f>SUMIFS([1]tblInward!D:D,[1]tblInward!B:B,[1]Closing_stock!A5)</f>
        <v>0</v>
      </c>
      <c r="H5" s="4">
        <f>SUMIFS([1]tblInward!F:F,[1]tblInward!B:B,[1]Closing_stock!A5)</f>
        <v>0</v>
      </c>
      <c r="I5" s="4">
        <f t="shared" si="1"/>
        <v>0</v>
      </c>
      <c r="J5" s="5">
        <f>SUMIFS([1]tblIssue!D:D,[1]tblIssue!B:B,[1]Closing_stock!A5)</f>
        <v>0</v>
      </c>
      <c r="K5" s="5">
        <f t="shared" si="2"/>
        <v>4500</v>
      </c>
      <c r="L5" s="4">
        <f t="shared" si="3"/>
        <v>260</v>
      </c>
      <c r="M5" s="3">
        <f t="shared" si="4"/>
        <v>1170000</v>
      </c>
    </row>
    <row r="6" spans="1:13" x14ac:dyDescent="0.3">
      <c r="A6" s="1" t="str">
        <f>[1]Item_Master!A6</f>
        <v>RMP0005</v>
      </c>
      <c r="B6" s="1" t="str">
        <f>_xlfn.XLOOKUP(A6, [1]Item_Master!A:A, [1]Item_Master!B:B)</f>
        <v>LDPE</v>
      </c>
      <c r="C6" s="1" t="str">
        <f>_xlfn.XLOOKUP(A6, [1]Item_Master!A:A, [1]Item_Master!C:C)</f>
        <v>PLASTIC</v>
      </c>
      <c r="D6" s="2">
        <v>1250</v>
      </c>
      <c r="E6" s="3">
        <f>116.25*1250</f>
        <v>145312.5</v>
      </c>
      <c r="F6" s="4">
        <f t="shared" si="0"/>
        <v>116.25</v>
      </c>
      <c r="G6" s="5">
        <f>SUMIFS([1]tblInward!D:D,[1]tblInward!B:B,[1]Closing_stock!A6)</f>
        <v>0</v>
      </c>
      <c r="H6" s="4">
        <f>SUMIFS([1]tblInward!F:F,[1]tblInward!B:B,[1]Closing_stock!A6)</f>
        <v>0</v>
      </c>
      <c r="I6" s="4">
        <f t="shared" si="1"/>
        <v>0</v>
      </c>
      <c r="J6" s="5">
        <f>SUMIFS([1]tblIssue!D:D,[1]tblIssue!B:B,[1]Closing_stock!A6)</f>
        <v>0</v>
      </c>
      <c r="K6" s="5">
        <f t="shared" si="2"/>
        <v>1250</v>
      </c>
      <c r="L6" s="4">
        <f t="shared" si="3"/>
        <v>116.25</v>
      </c>
      <c r="M6" s="3">
        <f t="shared" si="4"/>
        <v>145312.5</v>
      </c>
    </row>
    <row r="7" spans="1:13" x14ac:dyDescent="0.3">
      <c r="A7" s="1" t="str">
        <f>[1]Item_Master!A7</f>
        <v>RMP0006</v>
      </c>
      <c r="B7" s="1" t="str">
        <f>_xlfn.XLOOKUP(A7, [1]Item_Master!A:A, [1]Item_Master!B:B)</f>
        <v>LLDPE</v>
      </c>
      <c r="C7" s="1" t="str">
        <f>_xlfn.XLOOKUP(A7, [1]Item_Master!A:A, [1]Item_Master!C:C)</f>
        <v>PLASTIC</v>
      </c>
      <c r="D7" s="2">
        <v>2500</v>
      </c>
      <c r="E7" s="3">
        <f>2500*119.25</f>
        <v>298125</v>
      </c>
      <c r="F7" s="4">
        <f t="shared" si="0"/>
        <v>119.25</v>
      </c>
      <c r="G7" s="5">
        <f>SUMIFS([1]tblInward!D:D,[1]tblInward!B:B,[1]Closing_stock!A7)</f>
        <v>0</v>
      </c>
      <c r="H7" s="4">
        <f>SUMIFS([1]tblInward!F:F,[1]tblInward!B:B,[1]Closing_stock!A7)</f>
        <v>0</v>
      </c>
      <c r="I7" s="4">
        <f t="shared" si="1"/>
        <v>0</v>
      </c>
      <c r="J7" s="5">
        <f>SUMIFS([1]tblIssue!D:D,[1]tblIssue!B:B,[1]Closing_stock!A7)</f>
        <v>0</v>
      </c>
      <c r="K7" s="5">
        <f t="shared" si="2"/>
        <v>2500</v>
      </c>
      <c r="L7" s="4">
        <f t="shared" si="3"/>
        <v>119.25</v>
      </c>
      <c r="M7" s="3">
        <f t="shared" si="4"/>
        <v>298125</v>
      </c>
    </row>
    <row r="8" spans="1:13" x14ac:dyDescent="0.3">
      <c r="A8" s="1" t="str">
        <f>[1]Item_Master!A8</f>
        <v>RMP0007</v>
      </c>
      <c r="B8" s="1" t="str">
        <f>_xlfn.XLOOKUP(A8, [1]Item_Master!A:A, [1]Item_Master!B:B)</f>
        <v>PP1350YG</v>
      </c>
      <c r="C8" s="1" t="str">
        <f>_xlfn.XLOOKUP(A8, [1]Item_Master!A:A, [1]Item_Master!C:C)</f>
        <v>PLASTIC</v>
      </c>
      <c r="D8" s="2">
        <v>13000</v>
      </c>
      <c r="E8" s="2">
        <f>13000*97.5</f>
        <v>1267500</v>
      </c>
      <c r="F8" s="4">
        <f t="shared" si="0"/>
        <v>97.5</v>
      </c>
      <c r="G8" s="5">
        <f>SUMIFS([1]tblInward!D:D,[1]tblInward!B:B,[1]Closing_stock!A8)</f>
        <v>0</v>
      </c>
      <c r="H8" s="4">
        <f>SUMIFS([1]tblInward!F:F,[1]tblInward!B:B,[1]Closing_stock!A8)</f>
        <v>0</v>
      </c>
      <c r="I8" s="4">
        <f t="shared" si="1"/>
        <v>0</v>
      </c>
      <c r="J8" s="5">
        <f>SUMIFS([1]tblIssue!D:D,[1]tblIssue!B:B,[1]Closing_stock!A8)</f>
        <v>0</v>
      </c>
      <c r="K8" s="5">
        <f t="shared" si="2"/>
        <v>13000</v>
      </c>
      <c r="L8" s="4">
        <f t="shared" si="3"/>
        <v>97.5</v>
      </c>
      <c r="M8" s="3">
        <f t="shared" si="4"/>
        <v>1267500</v>
      </c>
    </row>
    <row r="9" spans="1:13" x14ac:dyDescent="0.3">
      <c r="A9" s="1" t="str">
        <f>[1]Item_Master!A9</f>
        <v>RMC0001</v>
      </c>
      <c r="B9" s="1" t="str">
        <f>_xlfn.XLOOKUP(A9, [1]Item_Master!A:A, [1]Item_Master!B:B)</f>
        <v>IAC</v>
      </c>
      <c r="C9" s="1" t="str">
        <f>_xlfn.XLOOKUP(A9, [1]Item_Master!A:A, [1]Item_Master!C:C)</f>
        <v>CARBON</v>
      </c>
      <c r="D9" s="2">
        <v>14000</v>
      </c>
      <c r="E9" s="3">
        <f>14000*150</f>
        <v>2100000</v>
      </c>
      <c r="F9" s="4">
        <f t="shared" si="0"/>
        <v>150</v>
      </c>
      <c r="G9" s="5">
        <f>SUMIFS([1]tblInward!D:D,[1]tblInward!B:B,[1]Closing_stock!A9)</f>
        <v>0</v>
      </c>
      <c r="H9" s="4">
        <f>SUMIFS([1]tblInward!F:F,[1]tblInward!B:B,[1]Closing_stock!A9)</f>
        <v>0</v>
      </c>
      <c r="I9" s="4">
        <f t="shared" si="1"/>
        <v>0</v>
      </c>
      <c r="J9" s="5">
        <f>SUMIFS([1]tblIssue!D:D,[1]tblIssue!B:B,[1]Closing_stock!A9)</f>
        <v>0</v>
      </c>
      <c r="K9" s="5">
        <f t="shared" si="2"/>
        <v>14000</v>
      </c>
      <c r="L9" s="4">
        <f t="shared" si="3"/>
        <v>150</v>
      </c>
      <c r="M9" s="3">
        <f t="shared" si="4"/>
        <v>2100000</v>
      </c>
    </row>
    <row r="10" spans="1:13" x14ac:dyDescent="0.3">
      <c r="A10" s="1" t="str">
        <f>[1]Item_Master!A10</f>
        <v>RMC0002</v>
      </c>
      <c r="B10" s="1" t="str">
        <f>_xlfn.XLOOKUP(A10, [1]Item_Master!A:A, [1]Item_Master!B:B)</f>
        <v>PAC</v>
      </c>
      <c r="C10" s="1" t="str">
        <f>_xlfn.XLOOKUP(A10, [1]Item_Master!A:A, [1]Item_Master!C:C)</f>
        <v>CARBON</v>
      </c>
      <c r="D10" s="2">
        <v>15000</v>
      </c>
      <c r="E10" s="3">
        <f>60000*120</f>
        <v>7200000</v>
      </c>
      <c r="F10" s="4">
        <f t="shared" si="0"/>
        <v>480</v>
      </c>
      <c r="G10" s="5">
        <f>SUMIFS([1]tblInward!D:D,[1]tblInward!B:B,[1]Closing_stock!A10)</f>
        <v>4500</v>
      </c>
      <c r="H10" s="4">
        <f>SUMIFS([1]tblInward!F:F,[1]tblInward!B:B,[1]Closing_stock!A10)</f>
        <v>675000</v>
      </c>
      <c r="I10" s="4">
        <f t="shared" si="1"/>
        <v>150</v>
      </c>
      <c r="J10" s="5">
        <f>SUMIFS([1]tblIssue!D:D,[1]tblIssue!B:B,[1]Closing_stock!A10)</f>
        <v>2000</v>
      </c>
      <c r="K10" s="5">
        <f t="shared" si="2"/>
        <v>17500</v>
      </c>
      <c r="L10" s="4">
        <f t="shared" si="3"/>
        <v>395.14285714285717</v>
      </c>
      <c r="M10" s="3">
        <f t="shared" si="4"/>
        <v>6915000</v>
      </c>
    </row>
    <row r="11" spans="1:13" x14ac:dyDescent="0.3">
      <c r="A11" s="1" t="str">
        <f>[1]Item_Master!A11</f>
        <v>RMC0003</v>
      </c>
      <c r="B11" s="1" t="str">
        <f>_xlfn.XLOOKUP(A11, [1]Item_Master!A:A, [1]Item_Master!B:B)</f>
        <v>GAC</v>
      </c>
      <c r="C11" s="1" t="str">
        <f>_xlfn.XLOOKUP(A11, [1]Item_Master!A:A, [1]Item_Master!C:C)</f>
        <v>CARBON</v>
      </c>
      <c r="D11" s="2">
        <v>35000</v>
      </c>
      <c r="E11" s="3">
        <f>35000*140</f>
        <v>4900000</v>
      </c>
      <c r="F11" s="4">
        <f t="shared" si="0"/>
        <v>140</v>
      </c>
      <c r="G11" s="5">
        <f>SUMIFS([1]tblInward!D:D,[1]tblInward!B:B,[1]Closing_stock!A11)</f>
        <v>0</v>
      </c>
      <c r="H11" s="4">
        <f>SUMIFS([1]tblInward!F:F,[1]tblInward!B:B,[1]Closing_stock!A11)</f>
        <v>0</v>
      </c>
      <c r="I11" s="4">
        <f t="shared" si="1"/>
        <v>0</v>
      </c>
      <c r="J11" s="5">
        <f>SUMIFS([1]tblIssue!D:D,[1]tblIssue!B:B,[1]Closing_stock!A11)</f>
        <v>0</v>
      </c>
      <c r="K11" s="5">
        <f t="shared" si="2"/>
        <v>35000</v>
      </c>
      <c r="L11" s="4">
        <f t="shared" si="3"/>
        <v>140</v>
      </c>
      <c r="M11" s="3">
        <f t="shared" si="4"/>
        <v>4900000</v>
      </c>
    </row>
    <row r="12" spans="1:13" x14ac:dyDescent="0.3">
      <c r="A12" s="1" t="str">
        <f>[1]Item_Master!A12</f>
        <v>BOP0001</v>
      </c>
      <c r="B12" s="1" t="str">
        <f>_xlfn.XLOOKUP(A12, [1]Item_Master!A:A, [1]Item_Master!B:B)</f>
        <v>TAP GASKET</v>
      </c>
      <c r="C12" s="1" t="str">
        <f>_xlfn.XLOOKUP(A12, [1]Item_Master!A:A, [1]Item_Master!C:C)</f>
        <v>BOP</v>
      </c>
      <c r="D12" s="2">
        <v>15000</v>
      </c>
      <c r="E12" s="3">
        <f>15000*3.5</f>
        <v>52500</v>
      </c>
      <c r="F12" s="4">
        <f t="shared" si="0"/>
        <v>3.5</v>
      </c>
      <c r="G12" s="5">
        <f>SUMIFS([1]tblInward!D:D,[1]tblInward!B:B,[1]Closing_stock!A12)</f>
        <v>13500</v>
      </c>
      <c r="H12" s="4">
        <f>SUMIFS([1]tblInward!F:F,[1]tblInward!B:B,[1]Closing_stock!A12)</f>
        <v>47250</v>
      </c>
      <c r="I12" s="4">
        <f t="shared" si="1"/>
        <v>3.5</v>
      </c>
      <c r="J12" s="5">
        <f>SUMIFS([1]tblIssue!D:D,[1]tblIssue!B:B,[1]Closing_stock!A12)</f>
        <v>10500</v>
      </c>
      <c r="K12" s="5">
        <f t="shared" si="2"/>
        <v>18000</v>
      </c>
      <c r="L12" s="4">
        <f t="shared" si="3"/>
        <v>3.5</v>
      </c>
      <c r="M12" s="3">
        <f t="shared" si="4"/>
        <v>63000</v>
      </c>
    </row>
    <row r="13" spans="1:13" x14ac:dyDescent="0.3">
      <c r="A13" s="1" t="str">
        <f>[1]Item_Master!A13</f>
        <v>BOP0002</v>
      </c>
      <c r="B13" s="1" t="str">
        <f>_xlfn.XLOOKUP(A13, [1]Item_Master!A:A, [1]Item_Master!B:B)</f>
        <v>TAP SPRING</v>
      </c>
      <c r="C13" s="1" t="str">
        <f>_xlfn.XLOOKUP(A13, [1]Item_Master!A:A, [1]Item_Master!C:C)</f>
        <v>BOP</v>
      </c>
      <c r="D13" s="2">
        <v>135000</v>
      </c>
      <c r="E13" s="3">
        <f>135000*0.7</f>
        <v>94500</v>
      </c>
      <c r="F13" s="4">
        <f t="shared" si="0"/>
        <v>0.7</v>
      </c>
      <c r="G13" s="5">
        <f>SUMIFS([1]tblInward!D:D,[1]tblInward!B:B,[1]Closing_stock!A13)</f>
        <v>28000</v>
      </c>
      <c r="H13" s="4">
        <f>SUMIFS([1]tblInward!F:F,[1]tblInward!B:B,[1]Closing_stock!A13)</f>
        <v>21000</v>
      </c>
      <c r="I13" s="4">
        <f t="shared" si="1"/>
        <v>0.75</v>
      </c>
      <c r="J13" s="5">
        <f>SUMIFS([1]tblIssue!D:D,[1]tblIssue!B:B,[1]Closing_stock!A13)</f>
        <v>6500</v>
      </c>
      <c r="K13" s="5">
        <f t="shared" si="2"/>
        <v>156500</v>
      </c>
      <c r="L13" s="4">
        <f t="shared" si="3"/>
        <v>0.70894568690095849</v>
      </c>
      <c r="M13" s="3">
        <f t="shared" si="4"/>
        <v>110950</v>
      </c>
    </row>
    <row r="14" spans="1:13" x14ac:dyDescent="0.3">
      <c r="A14" s="1" t="str">
        <f>[1]Item_Master!A14</f>
        <v>BOP0003</v>
      </c>
      <c r="B14" s="1" t="str">
        <f>_xlfn.XLOOKUP(A14, [1]Item_Master!A:A, [1]Item_Master!B:B)</f>
        <v>11.5 DIA O RING</v>
      </c>
      <c r="C14" s="1" t="str">
        <f>_xlfn.XLOOKUP(A14, [1]Item_Master!A:A, [1]Item_Master!C:C)</f>
        <v>BOP</v>
      </c>
      <c r="D14" s="2">
        <v>450000</v>
      </c>
      <c r="E14" s="3">
        <f>450000*0.45</f>
        <v>202500</v>
      </c>
      <c r="F14" s="4">
        <f t="shared" si="0"/>
        <v>0.45</v>
      </c>
      <c r="G14" s="5">
        <f>SUMIFS([1]tblInward!D:D,[1]tblInward!B:B,[1]Closing_stock!A14)</f>
        <v>0</v>
      </c>
      <c r="H14" s="4">
        <f>SUMIFS([1]tblInward!F:F,[1]tblInward!B:B,[1]Closing_stock!A14)</f>
        <v>0</v>
      </c>
      <c r="I14" s="4">
        <f t="shared" si="1"/>
        <v>0</v>
      </c>
      <c r="J14" s="5">
        <f>SUMIFS([1]tblIssue!D:D,[1]tblIssue!B:B,[1]Closing_stock!A14)</f>
        <v>0</v>
      </c>
      <c r="K14" s="5">
        <f t="shared" si="2"/>
        <v>450000</v>
      </c>
      <c r="L14" s="4">
        <f t="shared" si="3"/>
        <v>0.45</v>
      </c>
      <c r="M14" s="3">
        <f t="shared" si="4"/>
        <v>202500</v>
      </c>
    </row>
    <row r="15" spans="1:13" x14ac:dyDescent="0.3">
      <c r="A15" s="1" t="str">
        <f>[1]Item_Master!A15</f>
        <v>BOP0004</v>
      </c>
      <c r="B15" s="1" t="str">
        <f>_xlfn.XLOOKUP(A15, [1]Item_Master!A:A, [1]Item_Master!B:B)</f>
        <v>28 DIA O RING</v>
      </c>
      <c r="C15" s="1" t="str">
        <f>_xlfn.XLOOKUP(A15, [1]Item_Master!A:A, [1]Item_Master!C:C)</f>
        <v>BOP</v>
      </c>
      <c r="D15" s="2">
        <v>250000</v>
      </c>
      <c r="E15" s="2">
        <f>2.25*250000</f>
        <v>562500</v>
      </c>
      <c r="F15" s="4">
        <f t="shared" si="0"/>
        <v>2.25</v>
      </c>
      <c r="G15" s="5">
        <f>SUMIFS([1]tblInward!D:D,[1]tblInward!B:B,[1]Closing_stock!A15)</f>
        <v>0</v>
      </c>
      <c r="H15" s="4">
        <f>SUMIFS([1]tblInward!F:F,[1]tblInward!B:B,[1]Closing_stock!A15)</f>
        <v>0</v>
      </c>
      <c r="I15" s="4">
        <f t="shared" si="1"/>
        <v>0</v>
      </c>
      <c r="J15" s="5">
        <f>SUMIFS([1]tblIssue!D:D,[1]tblIssue!B:B,[1]Closing_stock!A15)</f>
        <v>0</v>
      </c>
      <c r="K15" s="5">
        <f t="shared" si="2"/>
        <v>250000</v>
      </c>
      <c r="L15" s="4">
        <f t="shared" si="3"/>
        <v>2.25</v>
      </c>
      <c r="M15" s="3">
        <f t="shared" si="4"/>
        <v>562500</v>
      </c>
    </row>
    <row r="16" spans="1:13" x14ac:dyDescent="0.3">
      <c r="A16" s="1" t="str">
        <f>[1]Item_Master!A16</f>
        <v>BOP0005</v>
      </c>
      <c r="B16" s="1" t="str">
        <f>_xlfn.XLOOKUP(A16, [1]Item_Master!A:A, [1]Item_Master!B:B)</f>
        <v>42 DIA O RING</v>
      </c>
      <c r="C16" s="1" t="str">
        <f>_xlfn.XLOOKUP(A16, [1]Item_Master!A:A, [1]Item_Master!C:C)</f>
        <v>BOP</v>
      </c>
      <c r="D16" s="2">
        <v>15000</v>
      </c>
      <c r="E16" s="2">
        <f>3.5*15000</f>
        <v>52500</v>
      </c>
      <c r="F16" s="4">
        <f t="shared" si="0"/>
        <v>3.5</v>
      </c>
      <c r="G16" s="5">
        <f>SUMIFS([1]tblInward!D:D,[1]tblInward!B:B,[1]Closing_stock!A16)</f>
        <v>0</v>
      </c>
      <c r="H16" s="4">
        <f>SUMIFS([1]tblInward!F:F,[1]tblInward!B:B,[1]Closing_stock!A16)</f>
        <v>0</v>
      </c>
      <c r="I16" s="4">
        <f t="shared" si="1"/>
        <v>0</v>
      </c>
      <c r="J16" s="5">
        <f>SUMIFS([1]tblIssue!D:D,[1]tblIssue!B:B,[1]Closing_stock!A16)</f>
        <v>0</v>
      </c>
      <c r="K16" s="5">
        <f t="shared" si="2"/>
        <v>15000</v>
      </c>
      <c r="L16" s="4">
        <f t="shared" si="3"/>
        <v>3.5</v>
      </c>
      <c r="M16" s="3">
        <f t="shared" si="4"/>
        <v>52500</v>
      </c>
    </row>
    <row r="17" spans="1:13" x14ac:dyDescent="0.3">
      <c r="A17" s="1" t="str">
        <f>[1]Item_Master!A17</f>
        <v>BOP0006</v>
      </c>
      <c r="B17" s="1" t="str">
        <f>_xlfn.XLOOKUP(A17, [1]Item_Master!A:A, [1]Item_Master!B:B)</f>
        <v>98 DIA ORING</v>
      </c>
      <c r="C17" s="1" t="str">
        <f>_xlfn.XLOOKUP(A17, [1]Item_Master!A:A, [1]Item_Master!C:C)</f>
        <v>BOP</v>
      </c>
      <c r="D17" s="2">
        <v>15000</v>
      </c>
      <c r="E17" s="2">
        <f>6.5*15000</f>
        <v>97500</v>
      </c>
      <c r="F17" s="4">
        <f t="shared" si="0"/>
        <v>6.5</v>
      </c>
      <c r="G17" s="5">
        <f>SUMIFS([1]tblInward!D:D,[1]tblInward!B:B,[1]Closing_stock!A17)</f>
        <v>0</v>
      </c>
      <c r="H17" s="4">
        <f>SUMIFS([1]tblInward!F:F,[1]tblInward!B:B,[1]Closing_stock!A17)</f>
        <v>0</v>
      </c>
      <c r="I17" s="4">
        <f t="shared" si="1"/>
        <v>0</v>
      </c>
      <c r="J17" s="5">
        <f>SUMIFS([1]tblIssue!D:D,[1]tblIssue!B:B,[1]Closing_stock!A17)</f>
        <v>0</v>
      </c>
      <c r="K17" s="5">
        <f t="shared" si="2"/>
        <v>15000</v>
      </c>
      <c r="L17" s="4">
        <f t="shared" si="3"/>
        <v>6.5</v>
      </c>
      <c r="M17" s="3">
        <f t="shared" si="4"/>
        <v>97500</v>
      </c>
    </row>
    <row r="18" spans="1:13" x14ac:dyDescent="0.3">
      <c r="A18" s="1" t="str">
        <f>[1]Item_Master!A18</f>
        <v>BOP0007</v>
      </c>
      <c r="B18" s="1" t="str">
        <f>_xlfn.XLOOKUP(A18, [1]Item_Master!A:A, [1]Item_Master!B:B)</f>
        <v>PUMP</v>
      </c>
      <c r="C18" s="1" t="str">
        <f>_xlfn.XLOOKUP(A18, [1]Item_Master!A:A, [1]Item_Master!C:C)</f>
        <v>BOP</v>
      </c>
      <c r="D18" s="2">
        <v>12000</v>
      </c>
      <c r="E18" s="2">
        <f>12000*725</f>
        <v>8700000</v>
      </c>
      <c r="F18" s="4">
        <f t="shared" si="0"/>
        <v>725</v>
      </c>
      <c r="G18" s="5">
        <f>SUMIFS([1]tblInward!D:D,[1]tblInward!B:B,[1]Closing_stock!A18)</f>
        <v>0</v>
      </c>
      <c r="H18" s="4">
        <f>SUMIFS([1]tblInward!F:F,[1]tblInward!B:B,[1]Closing_stock!A18)</f>
        <v>0</v>
      </c>
      <c r="I18" s="4">
        <f t="shared" si="1"/>
        <v>0</v>
      </c>
      <c r="J18" s="5">
        <f>SUMIFS([1]tblIssue!D:D,[1]tblIssue!B:B,[1]Closing_stock!A18)</f>
        <v>0</v>
      </c>
      <c r="K18" s="5">
        <f t="shared" si="2"/>
        <v>12000</v>
      </c>
      <c r="L18" s="4">
        <f t="shared" si="3"/>
        <v>725</v>
      </c>
      <c r="M18" s="3">
        <f t="shared" si="4"/>
        <v>8700000</v>
      </c>
    </row>
    <row r="19" spans="1:13" x14ac:dyDescent="0.3">
      <c r="A19" s="1" t="str">
        <f>[1]Item_Master!A19</f>
        <v>BOP0008</v>
      </c>
      <c r="B19" s="1" t="str">
        <f>_xlfn.XLOOKUP(A19, [1]Item_Master!A:A, [1]Item_Master!B:B)</f>
        <v>MEMBRANE</v>
      </c>
      <c r="C19" s="1" t="str">
        <f>_xlfn.XLOOKUP(A19, [1]Item_Master!A:A, [1]Item_Master!C:C)</f>
        <v>BOP</v>
      </c>
      <c r="D19" s="2">
        <v>12500</v>
      </c>
      <c r="E19" s="2">
        <f>350*12500</f>
        <v>4375000</v>
      </c>
      <c r="F19" s="4">
        <f t="shared" si="0"/>
        <v>350</v>
      </c>
      <c r="G19" s="5">
        <f>SUMIFS([1]tblInward!D:D,[1]tblInward!B:B,[1]Closing_stock!A19)</f>
        <v>0</v>
      </c>
      <c r="H19" s="4">
        <f>SUMIFS([1]tblInward!F:F,[1]tblInward!B:B,[1]Closing_stock!A19)</f>
        <v>0</v>
      </c>
      <c r="I19" s="4">
        <f t="shared" si="1"/>
        <v>0</v>
      </c>
      <c r="J19" s="5">
        <f>SUMIFS([1]tblIssue!D:D,[1]tblIssue!B:B,[1]Closing_stock!A19)</f>
        <v>0</v>
      </c>
      <c r="K19" s="5">
        <f t="shared" si="2"/>
        <v>12500</v>
      </c>
      <c r="L19" s="4">
        <f t="shared" si="3"/>
        <v>350</v>
      </c>
      <c r="M19" s="3">
        <f t="shared" si="4"/>
        <v>4375000</v>
      </c>
    </row>
    <row r="20" spans="1:13" x14ac:dyDescent="0.3">
      <c r="A20" s="1" t="str">
        <f>[1]Item_Master!A20</f>
        <v>BOP0009</v>
      </c>
      <c r="B20" s="1" t="str">
        <f>_xlfn.XLOOKUP(A20, [1]Item_Master!A:A, [1]Item_Master!B:B)</f>
        <v>1/4" ELBLOW QCC</v>
      </c>
      <c r="C20" s="1" t="str">
        <f>_xlfn.XLOOKUP(A20, [1]Item_Master!A:A, [1]Item_Master!C:C)</f>
        <v>BOP</v>
      </c>
      <c r="D20" s="2">
        <v>75000</v>
      </c>
      <c r="E20" s="2">
        <f>450000*3.5</f>
        <v>1575000</v>
      </c>
      <c r="F20" s="4">
        <f t="shared" si="0"/>
        <v>21</v>
      </c>
      <c r="G20" s="5">
        <f>SUMIFS([1]tblInward!D:D,[1]tblInward!B:B,[1]Closing_stock!A20)</f>
        <v>0</v>
      </c>
      <c r="H20" s="4">
        <f>SUMIFS([1]tblInward!F:F,[1]tblInward!B:B,[1]Closing_stock!A20)</f>
        <v>0</v>
      </c>
      <c r="I20" s="4">
        <f t="shared" si="1"/>
        <v>0</v>
      </c>
      <c r="J20" s="5">
        <f>SUMIFS([1]tblIssue!D:D,[1]tblIssue!B:B,[1]Closing_stock!A20)</f>
        <v>0</v>
      </c>
      <c r="K20" s="5">
        <f t="shared" si="2"/>
        <v>75000</v>
      </c>
      <c r="L20" s="4">
        <f t="shared" si="3"/>
        <v>21</v>
      </c>
      <c r="M20" s="3">
        <f t="shared" si="4"/>
        <v>1575000</v>
      </c>
    </row>
    <row r="21" spans="1:13" x14ac:dyDescent="0.3">
      <c r="A21" s="1" t="str">
        <f>[1]Item_Master!A21</f>
        <v>BOP0010</v>
      </c>
      <c r="B21" s="1" t="str">
        <f>_xlfn.XLOOKUP(A21, [1]Item_Master!A:A, [1]Item_Master!B:B)</f>
        <v>FLOW RESTRICTOR 450 ML</v>
      </c>
      <c r="C21" s="1" t="str">
        <f>_xlfn.XLOOKUP(A21, [1]Item_Master!A:A, [1]Item_Master!C:C)</f>
        <v>BOP</v>
      </c>
      <c r="D21" s="2">
        <v>30000</v>
      </c>
      <c r="E21" s="2">
        <f>21*30000</f>
        <v>630000</v>
      </c>
      <c r="F21" s="4">
        <f t="shared" si="0"/>
        <v>21</v>
      </c>
      <c r="G21" s="5">
        <f>SUMIFS([1]tblInward!D:D,[1]tblInward!B:B,[1]Closing_stock!A21)</f>
        <v>0</v>
      </c>
      <c r="H21" s="4">
        <f>SUMIFS([1]tblInward!F:F,[1]tblInward!B:B,[1]Closing_stock!A21)</f>
        <v>0</v>
      </c>
      <c r="I21" s="4">
        <f t="shared" si="1"/>
        <v>0</v>
      </c>
      <c r="J21" s="5">
        <f>SUMIFS([1]tblIssue!D:D,[1]tblIssue!B:B,[1]Closing_stock!A21)</f>
        <v>0</v>
      </c>
      <c r="K21" s="5">
        <f t="shared" si="2"/>
        <v>30000</v>
      </c>
      <c r="L21" s="4">
        <f t="shared" si="3"/>
        <v>21</v>
      </c>
      <c r="M21" s="3">
        <f t="shared" si="4"/>
        <v>630000</v>
      </c>
    </row>
    <row r="22" spans="1:13" x14ac:dyDescent="0.3">
      <c r="A22" s="1" t="str">
        <f>[1]Item_Master!A22</f>
        <v>PKJ0001</v>
      </c>
      <c r="B22" s="1" t="str">
        <f>_xlfn.XLOOKUP(A22, [1]Item_Master!A:A, [1]Item_Master!B:B)</f>
        <v>POLYBAG 28 X 36</v>
      </c>
      <c r="C22" s="1" t="str">
        <f>_xlfn.XLOOKUP(A22, [1]Item_Master!A:A, [1]Item_Master!C:C)</f>
        <v>PACKING MATERIAL</v>
      </c>
      <c r="D22" s="2">
        <v>0</v>
      </c>
      <c r="E22" s="2">
        <v>0</v>
      </c>
      <c r="F22" s="4">
        <f t="shared" si="0"/>
        <v>0</v>
      </c>
      <c r="G22" s="5">
        <f>SUMIFS([1]tblInward!D:D,[1]tblInward!B:B,[1]Closing_stock!A22)</f>
        <v>700</v>
      </c>
      <c r="H22" s="4">
        <f>SUMIFS([1]tblInward!F:F,[1]tblInward!B:B,[1]Closing_stock!A22)</f>
        <v>87500</v>
      </c>
      <c r="I22" s="4">
        <f t="shared" si="1"/>
        <v>125</v>
      </c>
      <c r="J22" s="5">
        <f>SUMIFS([1]tblIssue!D:D,[1]tblIssue!B:B,[1]Closing_stock!A22)</f>
        <v>175</v>
      </c>
      <c r="K22" s="5">
        <f t="shared" si="2"/>
        <v>525</v>
      </c>
      <c r="L22" s="4">
        <f t="shared" si="3"/>
        <v>125</v>
      </c>
      <c r="M22" s="3">
        <f t="shared" si="4"/>
        <v>65625</v>
      </c>
    </row>
    <row r="23" spans="1:13" x14ac:dyDescent="0.3">
      <c r="A23" s="1" t="str">
        <f>[1]Item_Master!A23</f>
        <v>PKJ0002</v>
      </c>
      <c r="B23" s="1" t="str">
        <f>_xlfn.XLOOKUP(A23, [1]Item_Master!A:A, [1]Item_Master!B:B)</f>
        <v>POLYBAG 10 X 10</v>
      </c>
      <c r="C23" s="1" t="str">
        <f>_xlfn.XLOOKUP(A23, [1]Item_Master!A:A, [1]Item_Master!C:C)</f>
        <v>PACKING MATERIAL</v>
      </c>
      <c r="D23" s="2">
        <v>50</v>
      </c>
      <c r="E23" s="2">
        <f>150*50</f>
        <v>7500</v>
      </c>
      <c r="F23" s="4">
        <f t="shared" si="0"/>
        <v>150</v>
      </c>
      <c r="G23" s="5">
        <f>SUMIFS([1]tblInward!D:D,[1]tblInward!B:B,[1]Closing_stock!A23)</f>
        <v>0</v>
      </c>
      <c r="H23" s="4">
        <f>SUMIFS([1]tblInward!F:F,[1]tblInward!B:B,[1]Closing_stock!A23)</f>
        <v>0</v>
      </c>
      <c r="I23" s="4">
        <f t="shared" si="1"/>
        <v>0</v>
      </c>
      <c r="J23" s="5">
        <f>SUMIFS([1]tblIssue!D:D,[1]tblIssue!B:B,[1]Closing_stock!A23)</f>
        <v>0</v>
      </c>
      <c r="K23" s="5">
        <f t="shared" si="2"/>
        <v>50</v>
      </c>
      <c r="L23" s="4">
        <f t="shared" si="3"/>
        <v>150</v>
      </c>
      <c r="M23" s="3">
        <f t="shared" si="4"/>
        <v>7500</v>
      </c>
    </row>
    <row r="24" spans="1:13" x14ac:dyDescent="0.3">
      <c r="A24" s="1" t="str">
        <f>[1]Item_Master!A24</f>
        <v>PKJ0003</v>
      </c>
      <c r="B24" s="1" t="str">
        <f>_xlfn.XLOOKUP(A24, [1]Item_Master!A:A, [1]Item_Master!B:B)</f>
        <v>CLING FILM</v>
      </c>
      <c r="C24" s="1" t="str">
        <f>_xlfn.XLOOKUP(A24, [1]Item_Master!A:A, [1]Item_Master!C:C)</f>
        <v>PACKING MATERIAL</v>
      </c>
      <c r="D24" s="2">
        <v>120</v>
      </c>
      <c r="E24" s="2">
        <f>800*450</f>
        <v>360000</v>
      </c>
      <c r="F24" s="4">
        <f t="shared" si="0"/>
        <v>3000</v>
      </c>
      <c r="G24" s="5">
        <f>SUMIFS([1]tblInward!D:D,[1]tblInward!B:B,[1]Closing_stock!A24)</f>
        <v>650</v>
      </c>
      <c r="H24" s="4">
        <f>SUMIFS([1]tblInward!F:F,[1]tblInward!B:B,[1]Closing_stock!A24)</f>
        <v>503750</v>
      </c>
      <c r="I24" s="4">
        <f t="shared" si="1"/>
        <v>775</v>
      </c>
      <c r="J24" s="5">
        <f>SUMIFS([1]tblIssue!D:D,[1]tblIssue!B:B,[1]Closing_stock!A24)</f>
        <v>0</v>
      </c>
      <c r="K24" s="5">
        <f t="shared" si="2"/>
        <v>770</v>
      </c>
      <c r="L24" s="4">
        <f t="shared" si="3"/>
        <v>1121.7532467532467</v>
      </c>
      <c r="M24" s="3">
        <f t="shared" si="4"/>
        <v>863750</v>
      </c>
    </row>
    <row r="25" spans="1:13" x14ac:dyDescent="0.3">
      <c r="A25" s="1" t="str">
        <f>[1]Item_Master!A25</f>
        <v>PKJ0004</v>
      </c>
      <c r="B25" s="1" t="str">
        <f>_xlfn.XLOOKUP(A25, [1]Item_Master!A:A, [1]Item_Master!B:B)</f>
        <v>CORRUGATED BOX BANGLADESH CLASSIC 23 LTRS</v>
      </c>
      <c r="C25" s="1" t="str">
        <f>_xlfn.XLOOKUP(A25, [1]Item_Master!A:A, [1]Item_Master!C:C)</f>
        <v>PACKING MATERIAL</v>
      </c>
      <c r="D25" s="2">
        <v>1000</v>
      </c>
      <c r="E25" s="2">
        <f>65*1000</f>
        <v>65000</v>
      </c>
      <c r="F25" s="4">
        <f t="shared" si="0"/>
        <v>65</v>
      </c>
      <c r="G25" s="5">
        <f>SUMIFS([1]tblInward!D:D,[1]tblInward!B:B,[1]Closing_stock!A25)</f>
        <v>0</v>
      </c>
      <c r="H25" s="4">
        <f>SUMIFS([1]tblInward!F:F,[1]tblInward!B:B,[1]Closing_stock!A25)</f>
        <v>0</v>
      </c>
      <c r="I25" s="4">
        <f t="shared" si="1"/>
        <v>0</v>
      </c>
      <c r="J25" s="5">
        <f>SUMIFS([1]tblIssue!D:D,[1]tblIssue!B:B,[1]Closing_stock!A25)</f>
        <v>0</v>
      </c>
      <c r="K25" s="5">
        <f t="shared" si="2"/>
        <v>1000</v>
      </c>
      <c r="L25" s="4">
        <f t="shared" si="3"/>
        <v>65</v>
      </c>
      <c r="M25" s="3">
        <f t="shared" si="4"/>
        <v>65000</v>
      </c>
    </row>
    <row r="26" spans="1:13" x14ac:dyDescent="0.3">
      <c r="A26" s="1" t="str">
        <f>[1]Item_Master!A26</f>
        <v>PKJ0005</v>
      </c>
      <c r="B26" s="1" t="str">
        <f>_xlfn.XLOOKUP(A26, [1]Item_Master!A:A, [1]Item_Master!B:B)</f>
        <v>CORRUGATED BOX MEXICO CLASSIC 23 LTRS</v>
      </c>
      <c r="C26" s="1" t="str">
        <f>_xlfn.XLOOKUP(A26, [1]Item_Master!A:A, [1]Item_Master!C:C)</f>
        <v>PACKING MATERIAL</v>
      </c>
      <c r="D26" s="2">
        <v>950</v>
      </c>
      <c r="E26" s="2">
        <f>950*80</f>
        <v>76000</v>
      </c>
      <c r="F26" s="4">
        <f t="shared" si="0"/>
        <v>80</v>
      </c>
      <c r="G26" s="5">
        <f>SUMIFS([1]tblInward!D:D,[1]tblInward!B:B,[1]Closing_stock!A26)</f>
        <v>0</v>
      </c>
      <c r="H26" s="4">
        <f>SUMIFS([1]tblInward!F:F,[1]tblInward!B:B,[1]Closing_stock!A26)</f>
        <v>0</v>
      </c>
      <c r="I26" s="4">
        <f t="shared" si="1"/>
        <v>0</v>
      </c>
      <c r="J26" s="5">
        <f>SUMIFS([1]tblIssue!D:D,[1]tblIssue!B:B,[1]Closing_stock!A26)</f>
        <v>0</v>
      </c>
      <c r="K26" s="5">
        <f t="shared" si="2"/>
        <v>950</v>
      </c>
      <c r="L26" s="4">
        <f t="shared" si="3"/>
        <v>80</v>
      </c>
      <c r="M26" s="3">
        <f t="shared" si="4"/>
        <v>76000</v>
      </c>
    </row>
    <row r="27" spans="1:13" x14ac:dyDescent="0.3">
      <c r="M27" s="6">
        <f>SUM(M2:M26)</f>
        <v>40683687.5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LAWATE</dc:creator>
  <cp:lastModifiedBy>Aditya Lawate</cp:lastModifiedBy>
  <dcterms:created xsi:type="dcterms:W3CDTF">2026-01-24T05:12:09Z</dcterms:created>
  <dcterms:modified xsi:type="dcterms:W3CDTF">2026-02-21T06:32:20Z</dcterms:modified>
</cp:coreProperties>
</file>